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40" i="1" l="1"/>
  <c r="C39" i="1"/>
  <c r="M35" i="1"/>
  <c r="L35" i="1"/>
  <c r="D35" i="1"/>
  <c r="M34" i="1"/>
  <c r="L34" i="1"/>
  <c r="D34" i="1"/>
  <c r="M33" i="1"/>
  <c r="L33" i="1"/>
  <c r="D33" i="1"/>
  <c r="L32" i="1"/>
  <c r="B29" i="1"/>
  <c r="J28" i="1"/>
  <c r="G28" i="1"/>
  <c r="J27" i="1"/>
  <c r="J26" i="1"/>
  <c r="H26" i="1"/>
  <c r="G26" i="1"/>
  <c r="G29" i="1" s="1"/>
  <c r="G31" i="1" s="1"/>
  <c r="M23" i="1"/>
  <c r="L23" i="1"/>
  <c r="I23" i="1"/>
  <c r="D23" i="1"/>
  <c r="M22" i="1"/>
  <c r="L22" i="1"/>
  <c r="D22" i="1"/>
  <c r="M21" i="1"/>
  <c r="L21" i="1" s="1"/>
  <c r="D21" i="1"/>
  <c r="M20" i="1"/>
  <c r="L20" i="1" s="1"/>
  <c r="D20" i="1"/>
  <c r="L19" i="1"/>
  <c r="B17" i="1"/>
  <c r="B30" i="1" s="1"/>
  <c r="H16" i="1"/>
  <c r="J16" i="1" s="1"/>
  <c r="G16" i="1"/>
  <c r="E16" i="1"/>
  <c r="C16" i="1"/>
  <c r="J15" i="1"/>
  <c r="H15" i="1"/>
  <c r="G15" i="1"/>
  <c r="E15" i="1"/>
  <c r="C15" i="1"/>
  <c r="H14" i="1"/>
  <c r="J14" i="1" s="1"/>
  <c r="G14" i="1"/>
  <c r="E14" i="1"/>
  <c r="C14" i="1"/>
  <c r="J13" i="1"/>
  <c r="G13" i="1"/>
  <c r="E13" i="1"/>
  <c r="C13" i="1"/>
  <c r="J12" i="1"/>
  <c r="G12" i="1"/>
  <c r="E12" i="1"/>
  <c r="C12" i="1"/>
  <c r="E11" i="1"/>
  <c r="F11" i="1" s="1"/>
  <c r="C11" i="1"/>
  <c r="H10" i="1"/>
  <c r="J10" i="1" s="1"/>
  <c r="G10" i="1"/>
  <c r="E10" i="1"/>
  <c r="C10" i="1"/>
  <c r="J9" i="1"/>
  <c r="G9" i="1"/>
  <c r="E9" i="1"/>
  <c r="C9" i="1"/>
  <c r="I8" i="1"/>
  <c r="H8" i="1"/>
  <c r="E8" i="1"/>
  <c r="C8" i="1"/>
  <c r="J7" i="1"/>
  <c r="H7" i="1"/>
  <c r="G7" i="1"/>
  <c r="E7" i="1"/>
  <c r="C7" i="1"/>
  <c r="H6" i="1"/>
  <c r="J6" i="1" s="1"/>
  <c r="G6" i="1"/>
  <c r="E6" i="1"/>
  <c r="C6" i="1"/>
  <c r="H5" i="1"/>
  <c r="J5" i="1" s="1"/>
  <c r="G5" i="1"/>
  <c r="E5" i="1"/>
  <c r="C5" i="1"/>
  <c r="I5" i="1" s="1"/>
  <c r="J4" i="1"/>
  <c r="H4" i="1"/>
  <c r="G4" i="1"/>
  <c r="E4" i="1"/>
  <c r="C4" i="1"/>
  <c r="I4" i="1" s="1"/>
  <c r="J3" i="1"/>
  <c r="H3" i="1"/>
  <c r="G3" i="1"/>
  <c r="E3" i="1"/>
  <c r="C3" i="1"/>
  <c r="I3" i="1" s="1"/>
  <c r="J2" i="1"/>
  <c r="J17" i="1" s="1"/>
  <c r="H2" i="1"/>
  <c r="H17" i="1" s="1"/>
  <c r="G2" i="1"/>
  <c r="G17" i="1" s="1"/>
  <c r="E2" i="1"/>
  <c r="E17" i="1" s="1"/>
  <c r="M17" i="1" s="1"/>
  <c r="C2" i="1"/>
  <c r="C17" i="1" s="1"/>
  <c r="O17" i="1" l="1"/>
  <c r="B39" i="1"/>
  <c r="D39" i="1" s="1"/>
  <c r="D41" i="1" s="1"/>
  <c r="D42" i="1" s="1"/>
  <c r="G30" i="1"/>
  <c r="J29" i="1"/>
  <c r="N28" i="1"/>
  <c r="I2" i="1"/>
  <c r="I7" i="1"/>
  <c r="H29" i="1"/>
  <c r="I6" i="1"/>
  <c r="C28" i="1"/>
  <c r="E28" i="1" s="1"/>
  <c r="N17" i="1"/>
  <c r="C26" i="1"/>
  <c r="B40" i="1"/>
  <c r="D40" i="1" s="1"/>
  <c r="J30" i="1" l="1"/>
  <c r="I17" i="1"/>
  <c r="E26" i="1"/>
  <c r="E29" i="1" s="1"/>
  <c r="M28" i="1" s="1"/>
  <c r="O28" i="1" s="1"/>
  <c r="I26" i="1"/>
  <c r="I29" i="1" s="1"/>
  <c r="C29" i="1"/>
  <c r="A23" i="1"/>
  <c r="E23" i="1" s="1"/>
  <c r="A21" i="1"/>
  <c r="E21" i="1" s="1"/>
  <c r="A22" i="1"/>
  <c r="E22" i="1" s="1"/>
  <c r="A20" i="1"/>
  <c r="E20" i="1" s="1"/>
  <c r="B44" i="1" l="1"/>
  <c r="H22" i="1"/>
  <c r="G22" i="1"/>
  <c r="F22" i="1"/>
  <c r="J22" i="1"/>
  <c r="K22" i="1" s="1"/>
  <c r="G21" i="1"/>
  <c r="H21" i="1" s="1"/>
  <c r="F21" i="1"/>
  <c r="J21" i="1"/>
  <c r="K21" i="1" s="1"/>
  <c r="A36" i="1"/>
  <c r="A34" i="1"/>
  <c r="E34" i="1" s="1"/>
  <c r="A35" i="1"/>
  <c r="E35" i="1" s="1"/>
  <c r="A33" i="1"/>
  <c r="E33" i="1" s="1"/>
  <c r="G23" i="1"/>
  <c r="H23" i="1" s="1"/>
  <c r="F23" i="1"/>
  <c r="J23" i="1"/>
  <c r="K23" i="1" s="1"/>
  <c r="H20" i="1"/>
  <c r="G20" i="1"/>
  <c r="F20" i="1"/>
  <c r="J20" i="1"/>
  <c r="K20" i="1" s="1"/>
  <c r="F35" i="1" l="1"/>
  <c r="H35" i="1" s="1"/>
  <c r="G35" i="1"/>
  <c r="J35" i="1"/>
  <c r="K35" i="1" s="1"/>
  <c r="G34" i="1"/>
  <c r="F34" i="1"/>
  <c r="H34" i="1" s="1"/>
  <c r="B45" i="1"/>
  <c r="J34" i="1"/>
  <c r="K34" i="1" s="1"/>
  <c r="F33" i="1"/>
  <c r="G33" i="1"/>
  <c r="H33" i="1" s="1"/>
  <c r="J33" i="1"/>
  <c r="K33" i="1" s="1"/>
  <c r="B46" i="1"/>
  <c r="B47" i="1" s="1"/>
  <c r="B50" i="1" s="1"/>
</calcChain>
</file>

<file path=xl/sharedStrings.xml><?xml version="1.0" encoding="utf-8"?>
<sst xmlns="http://schemas.openxmlformats.org/spreadsheetml/2006/main" count="82" uniqueCount="62">
  <si>
    <t xml:space="preserve"> </t>
  </si>
  <si>
    <t xml:space="preserve">QTY FOR 100KG </t>
  </si>
  <si>
    <t>100KG BASE</t>
  </si>
  <si>
    <t>Rate/kg</t>
  </si>
  <si>
    <t>RATE/dosage</t>
  </si>
  <si>
    <t xml:space="preserve">DENSITY </t>
  </si>
  <si>
    <t>WT/LTR(Vol)</t>
  </si>
  <si>
    <t xml:space="preserve">SOLIDS IN TOTAL </t>
  </si>
  <si>
    <t>SOLIDS IN BASE</t>
  </si>
  <si>
    <t>SV</t>
  </si>
  <si>
    <t>PU 929 60%</t>
  </si>
  <si>
    <t>BLACK</t>
  </si>
  <si>
    <t>rutile</t>
  </si>
  <si>
    <t>talc</t>
  </si>
  <si>
    <t>YELLOW OXIDE</t>
  </si>
  <si>
    <t>UV STABLIZER</t>
  </si>
  <si>
    <t xml:space="preserve">ANTI TERA U </t>
  </si>
  <si>
    <t>ICLAY</t>
  </si>
  <si>
    <t>ZINC OCTATE</t>
  </si>
  <si>
    <t>XYLENE</t>
  </si>
  <si>
    <t>ETHER CELOCOLVE ACETATE</t>
  </si>
  <si>
    <t>BUTYL ACETATE</t>
  </si>
  <si>
    <t>DM100</t>
  </si>
  <si>
    <t>RM/KG</t>
  </si>
  <si>
    <t>DENSITY</t>
  </si>
  <si>
    <t>RM/LTR</t>
  </si>
  <si>
    <t>EPOXY BASE WHITE COAT</t>
  </si>
  <si>
    <t>COSTING OF BASE</t>
  </si>
  <si>
    <t>Cost/Ltr</t>
  </si>
  <si>
    <t xml:space="preserve">Pack Size </t>
  </si>
  <si>
    <t xml:space="preserve">Pack Cost </t>
  </si>
  <si>
    <t xml:space="preserve">Packing cost </t>
  </si>
  <si>
    <t>Cost Price</t>
  </si>
  <si>
    <t>Margine</t>
  </si>
  <si>
    <t xml:space="preserve">mfg Cost </t>
  </si>
  <si>
    <t xml:space="preserve">Total </t>
  </si>
  <si>
    <t>Selling Rate</t>
  </si>
  <si>
    <t>RS Margin</t>
  </si>
  <si>
    <t>%Margin</t>
  </si>
  <si>
    <t>SELLING</t>
  </si>
  <si>
    <t>n putc2</t>
  </si>
  <si>
    <t>100KG TOTAL</t>
  </si>
  <si>
    <t>100KG HARDNER</t>
  </si>
  <si>
    <t>WT/LTR</t>
  </si>
  <si>
    <t>SOILDS</t>
  </si>
  <si>
    <t>SVR</t>
  </si>
  <si>
    <t>n75</t>
  </si>
  <si>
    <t>dmp 30 = xylene</t>
  </si>
  <si>
    <t xml:space="preserve">                          </t>
  </si>
  <si>
    <t>BA</t>
  </si>
  <si>
    <t>EPOXY HARDNER WH C</t>
  </si>
  <si>
    <t>TOTAL</t>
  </si>
  <si>
    <t>TOTAL VOL</t>
  </si>
  <si>
    <t>COSTING OF HARDNER</t>
  </si>
  <si>
    <t>TARGET 4:1</t>
  </si>
  <si>
    <t>BASE WT</t>
  </si>
  <si>
    <t>VOLUME</t>
  </si>
  <si>
    <t>BASE VOLUME</t>
  </si>
  <si>
    <t xml:space="preserve">HARDNER </t>
  </si>
  <si>
    <t>TOTAL DENSITY</t>
  </si>
  <si>
    <t xml:space="preserve">cost </t>
  </si>
  <si>
    <t>base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</si>
</sst>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Calibri"/>
      <scheme val="minor"/>
    </font>
    <font>
      <sz val="12"/>
      <color theme="1"/>
      <name val="Calibri"/>
    </font>
    <font>
      <strike/>
      <sz val="11"/>
      <color theme="1"/>
      <name val="Calibri"/>
    </font>
    <font>
      <strike/>
      <sz val="12"/>
      <color theme="1"/>
      <name val="Calibri"/>
    </font>
    <font>
      <b/>
      <i/>
      <sz val="12"/>
      <color theme="1"/>
      <name val="Calibri"/>
      <scheme val="minor"/>
    </font>
    <font>
      <b/>
      <sz val="11"/>
      <color theme="1"/>
      <name val="Calibri"/>
      <scheme val="minor"/>
    </font>
    <font>
      <b/>
      <sz val="9"/>
      <color theme="1"/>
      <name val="Calibri"/>
      <scheme val="minor"/>
    </font>
    <font>
      <b/>
      <sz val="1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A4C2F4"/>
        <bgColor rgb="FFA4C2F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0" fontId="3" fillId="2" borderId="0" xfId="0" applyFont="1" applyFill="1" applyAlignment="1"/>
    <xf numFmtId="0" fontId="3" fillId="3" borderId="0" xfId="0" applyFont="1" applyFill="1" applyAlignment="1"/>
    <xf numFmtId="0" fontId="4" fillId="3" borderId="0" xfId="0" applyFont="1" applyFill="1"/>
    <xf numFmtId="0" fontId="0" fillId="0" borderId="0" xfId="0" applyFont="1" applyAlignment="1"/>
    <xf numFmtId="0" fontId="5" fillId="4" borderId="1" xfId="0" applyFont="1" applyFill="1" applyBorder="1" applyAlignment="1"/>
    <xf numFmtId="0" fontId="5" fillId="4" borderId="1" xfId="0" applyFont="1" applyFill="1" applyBorder="1" applyAlignment="1">
      <alignment horizontal="right"/>
    </xf>
    <xf numFmtId="164" fontId="5" fillId="4" borderId="1" xfId="0" applyNumberFormat="1" applyFont="1" applyFill="1" applyBorder="1" applyAlignment="1">
      <alignment horizontal="right"/>
    </xf>
    <xf numFmtId="2" fontId="5" fillId="4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2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/>
    <xf numFmtId="164" fontId="3" fillId="2" borderId="0" xfId="0" applyNumberFormat="1" applyFont="1" applyFill="1" applyAlignment="1"/>
    <xf numFmtId="0" fontId="4" fillId="2" borderId="0" xfId="0" applyFont="1" applyFill="1"/>
    <xf numFmtId="0" fontId="5" fillId="3" borderId="0" xfId="0" applyFont="1" applyFill="1" applyAlignment="1"/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0" fontId="5" fillId="3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5" fillId="2" borderId="1" xfId="0" applyFont="1" applyFill="1" applyBorder="1" applyAlignment="1"/>
    <xf numFmtId="0" fontId="1" fillId="2" borderId="0" xfId="0" applyFont="1" applyFill="1" applyAlignment="1"/>
    <xf numFmtId="0" fontId="1" fillId="3" borderId="0" xfId="0" applyFont="1" applyFill="1" applyBorder="1" applyAlignment="1">
      <alignment horizontal="center"/>
    </xf>
    <xf numFmtId="0" fontId="3" fillId="3" borderId="0" xfId="0" applyFont="1" applyFill="1" applyBorder="1" applyAlignment="1"/>
    <xf numFmtId="2" fontId="3" fillId="3" borderId="0" xfId="0" applyNumberFormat="1" applyFont="1" applyFill="1" applyBorder="1" applyAlignment="1"/>
    <xf numFmtId="0" fontId="5" fillId="3" borderId="1" xfId="0" applyFont="1" applyFill="1" applyBorder="1" applyAlignment="1"/>
    <xf numFmtId="0" fontId="3" fillId="3" borderId="1" xfId="0" applyFont="1" applyFill="1" applyBorder="1" applyAlignment="1"/>
    <xf numFmtId="0" fontId="5" fillId="3" borderId="1" xfId="0" applyFont="1" applyFill="1" applyBorder="1" applyAlignment="1">
      <alignment horizontal="right"/>
    </xf>
    <xf numFmtId="2" fontId="5" fillId="3" borderId="1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0" fontId="1" fillId="5" borderId="0" xfId="0" applyFont="1" applyFill="1" applyAlignment="1"/>
    <xf numFmtId="0" fontId="3" fillId="5" borderId="0" xfId="0" applyFont="1" applyFill="1" applyAlignment="1"/>
    <xf numFmtId="0" fontId="3" fillId="0" borderId="0" xfId="0" applyFont="1" applyAlignment="1"/>
    <xf numFmtId="0" fontId="1" fillId="6" borderId="1" xfId="0" applyFont="1" applyFill="1" applyBorder="1" applyAlignment="1"/>
    <xf numFmtId="0" fontId="2" fillId="6" borderId="1" xfId="0" applyFont="1" applyFill="1" applyBorder="1" applyAlignment="1"/>
    <xf numFmtId="0" fontId="3" fillId="6" borderId="1" xfId="0" applyFont="1" applyFill="1" applyBorder="1" applyAlignment="1"/>
    <xf numFmtId="0" fontId="3" fillId="6" borderId="0" xfId="0" applyFont="1" applyFill="1" applyAlignment="1"/>
    <xf numFmtId="0" fontId="3" fillId="7" borderId="0" xfId="0" applyFont="1" applyFill="1" applyAlignment="1"/>
    <xf numFmtId="0" fontId="5" fillId="4" borderId="1" xfId="0" applyFont="1" applyFill="1" applyBorder="1" applyAlignment="1">
      <alignment horizontal="left"/>
    </xf>
    <xf numFmtId="2" fontId="5" fillId="6" borderId="1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right"/>
    </xf>
    <xf numFmtId="164" fontId="3" fillId="6" borderId="1" xfId="0" applyNumberFormat="1" applyFont="1" applyFill="1" applyBorder="1" applyAlignment="1"/>
    <xf numFmtId="0" fontId="6" fillId="6" borderId="1" xfId="0" applyFont="1" applyFill="1" applyBorder="1" applyAlignment="1"/>
    <xf numFmtId="0" fontId="7" fillId="6" borderId="1" xfId="0" applyFont="1" applyFill="1" applyBorder="1" applyAlignment="1">
      <alignment horizontal="right"/>
    </xf>
    <xf numFmtId="164" fontId="5" fillId="6" borderId="1" xfId="0" applyNumberFormat="1" applyFont="1" applyFill="1" applyBorder="1" applyAlignment="1">
      <alignment horizontal="right"/>
    </xf>
    <xf numFmtId="2" fontId="7" fillId="6" borderId="1" xfId="0" applyNumberFormat="1" applyFont="1" applyFill="1" applyBorder="1" applyAlignment="1">
      <alignment horizontal="right"/>
    </xf>
    <xf numFmtId="0" fontId="4" fillId="6" borderId="0" xfId="0" applyFont="1" applyFill="1"/>
    <xf numFmtId="0" fontId="5" fillId="6" borderId="1" xfId="0" applyFont="1" applyFill="1" applyBorder="1" applyAlignment="1"/>
    <xf numFmtId="0" fontId="1" fillId="6" borderId="0" xfId="0" applyFont="1" applyFill="1" applyAlignment="1"/>
    <xf numFmtId="164" fontId="1" fillId="6" borderId="2" xfId="0" applyNumberFormat="1" applyFont="1" applyFill="1" applyBorder="1" applyAlignment="1">
      <alignment horizontal="right"/>
    </xf>
    <xf numFmtId="164" fontId="1" fillId="6" borderId="1" xfId="0" applyNumberFormat="1" applyFont="1" applyFill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2" fontId="1" fillId="6" borderId="1" xfId="0" applyNumberFormat="1" applyFont="1" applyFill="1" applyBorder="1" applyAlignment="1">
      <alignment horizontal="right"/>
    </xf>
    <xf numFmtId="164" fontId="2" fillId="6" borderId="1" xfId="0" applyNumberFormat="1" applyFont="1" applyFill="1" applyBorder="1" applyAlignment="1"/>
    <xf numFmtId="0" fontId="8" fillId="6" borderId="3" xfId="0" applyFont="1" applyFill="1" applyBorder="1" applyAlignment="1"/>
    <xf numFmtId="164" fontId="8" fillId="6" borderId="3" xfId="0" applyNumberFormat="1" applyFont="1" applyFill="1" applyBorder="1"/>
    <xf numFmtId="0" fontId="4" fillId="6" borderId="0" xfId="0" applyFont="1" applyFill="1" applyAlignment="1"/>
    <xf numFmtId="2" fontId="4" fillId="6" borderId="0" xfId="0" applyNumberFormat="1" applyFont="1" applyFill="1"/>
    <xf numFmtId="0" fontId="9" fillId="6" borderId="0" xfId="0" applyFont="1" applyFill="1"/>
    <xf numFmtId="0" fontId="4" fillId="7" borderId="0" xfId="0" applyFont="1" applyFill="1"/>
    <xf numFmtId="0" fontId="1" fillId="7" borderId="0" xfId="0" applyFont="1" applyFill="1" applyBorder="1" applyAlignment="1">
      <alignment horizontal="center"/>
    </xf>
    <xf numFmtId="0" fontId="3" fillId="7" borderId="0" xfId="0" applyFont="1" applyFill="1" applyBorder="1" applyAlignment="1"/>
    <xf numFmtId="0" fontId="2" fillId="7" borderId="0" xfId="0" applyFont="1" applyFill="1" applyBorder="1" applyAlignment="1"/>
    <xf numFmtId="2" fontId="3" fillId="7" borderId="0" xfId="0" applyNumberFormat="1" applyFont="1" applyFill="1" applyBorder="1" applyAlignment="1"/>
    <xf numFmtId="0" fontId="5" fillId="7" borderId="1" xfId="0" applyFont="1" applyFill="1" applyBorder="1" applyAlignment="1"/>
    <xf numFmtId="0" fontId="3" fillId="7" borderId="1" xfId="0" applyFont="1" applyFill="1" applyBorder="1" applyAlignment="1"/>
    <xf numFmtId="0" fontId="5" fillId="7" borderId="1" xfId="0" applyFont="1" applyFill="1" applyBorder="1" applyAlignment="1">
      <alignment horizontal="right"/>
    </xf>
    <xf numFmtId="2" fontId="5" fillId="7" borderId="1" xfId="0" applyNumberFormat="1" applyFont="1" applyFill="1" applyBorder="1" applyAlignment="1">
      <alignment horizontal="right"/>
    </xf>
    <xf numFmtId="0" fontId="5" fillId="7" borderId="1" xfId="0" applyFont="1" applyFill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/>
    <xf numFmtId="0" fontId="4" fillId="0" borderId="1" xfId="0" applyFont="1" applyBorder="1" applyAlignment="1"/>
    <xf numFmtId="2" fontId="4" fillId="0" borderId="1" xfId="0" applyNumberFormat="1" applyFont="1" applyBorder="1"/>
    <xf numFmtId="0" fontId="4" fillId="0" borderId="1" xfId="0" applyFont="1" applyBorder="1"/>
    <xf numFmtId="0" fontId="11" fillId="0" borderId="1" xfId="0" applyFont="1" applyBorder="1"/>
    <xf numFmtId="0" fontId="4" fillId="0" borderId="0" xfId="0" applyFont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tabSelected="1" topLeftCell="C1" workbookViewId="0">
      <selection activeCell="P15" sqref="P15"/>
    </sheetView>
  </sheetViews>
  <sheetFormatPr defaultColWidth="12.5703125" defaultRowHeight="15" x14ac:dyDescent="0.25"/>
  <cols>
    <col min="1" max="1" width="21.5703125" style="8" customWidth="1"/>
    <col min="2" max="2" width="20.7109375" style="8" customWidth="1"/>
    <col min="3" max="3" width="14" style="8" customWidth="1"/>
    <col min="4" max="7" width="12.5703125" style="8"/>
    <col min="8" max="8" width="13.7109375" style="8" customWidth="1"/>
    <col min="9" max="16384" width="12.5703125" style="8"/>
  </cols>
  <sheetData>
    <row r="1" spans="1:25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7"/>
      <c r="Y1" s="7"/>
    </row>
    <row r="2" spans="1:25" ht="15.75" customHeight="1" x14ac:dyDescent="0.25">
      <c r="A2" s="9" t="s">
        <v>10</v>
      </c>
      <c r="B2" s="10">
        <v>45</v>
      </c>
      <c r="C2" s="11">
        <f t="shared" ref="C2:C16" si="0">100/80.871*B2</f>
        <v>55.644174054976446</v>
      </c>
      <c r="D2" s="12">
        <v>170</v>
      </c>
      <c r="E2" s="13">
        <f t="shared" ref="E2:E9" si="1">B2*D2</f>
        <v>7650</v>
      </c>
      <c r="F2" s="14">
        <v>1.02</v>
      </c>
      <c r="G2" s="14">
        <f t="shared" ref="G2:G7" si="2">B2/F2</f>
        <v>44.117647058823529</v>
      </c>
      <c r="H2" s="4">
        <f t="shared" ref="H2:I2" si="3">B2*0.6</f>
        <v>27</v>
      </c>
      <c r="I2" s="4">
        <f t="shared" si="3"/>
        <v>33.386504432985866</v>
      </c>
      <c r="J2" s="15">
        <f>H2/1.15</f>
        <v>23.478260869565219</v>
      </c>
      <c r="K2" s="16"/>
      <c r="L2" s="5"/>
      <c r="M2" s="17"/>
      <c r="N2" s="17"/>
      <c r="O2" s="17"/>
      <c r="P2" s="7"/>
      <c r="Q2" s="6"/>
      <c r="R2" s="18"/>
      <c r="S2" s="18"/>
      <c r="T2" s="18"/>
      <c r="U2" s="18"/>
      <c r="V2" s="6"/>
      <c r="W2" s="6"/>
      <c r="X2" s="7"/>
      <c r="Y2" s="7"/>
    </row>
    <row r="3" spans="1:25" ht="15.75" customHeight="1" x14ac:dyDescent="0.25">
      <c r="A3" s="15" t="s">
        <v>11</v>
      </c>
      <c r="B3" s="19">
        <v>4.0000000000000001E-3</v>
      </c>
      <c r="C3" s="20">
        <f t="shared" si="0"/>
        <v>4.9461488048867953E-3</v>
      </c>
      <c r="D3" s="14">
        <v>265</v>
      </c>
      <c r="E3" s="13">
        <f t="shared" si="1"/>
        <v>1.06</v>
      </c>
      <c r="F3" s="14">
        <v>2</v>
      </c>
      <c r="G3" s="14">
        <f t="shared" si="2"/>
        <v>2E-3</v>
      </c>
      <c r="H3" s="15">
        <f t="shared" ref="H3:I8" si="4">B3</f>
        <v>4.0000000000000001E-3</v>
      </c>
      <c r="I3" s="15">
        <f t="shared" si="4"/>
        <v>4.9461488048867953E-3</v>
      </c>
      <c r="J3" s="15">
        <f t="shared" ref="J3:J7" si="5">H3/F3</f>
        <v>2E-3</v>
      </c>
      <c r="K3" s="16"/>
      <c r="L3" s="5"/>
      <c r="M3" s="17"/>
      <c r="N3" s="17"/>
      <c r="O3" s="17"/>
      <c r="P3" s="7"/>
      <c r="Q3" s="6"/>
      <c r="R3" s="18"/>
      <c r="S3" s="21"/>
      <c r="T3" s="21"/>
      <c r="U3" s="21"/>
      <c r="V3" s="6"/>
      <c r="W3" s="6"/>
      <c r="X3" s="7"/>
      <c r="Y3" s="7"/>
    </row>
    <row r="4" spans="1:25" ht="15.75" customHeight="1" x14ac:dyDescent="0.25">
      <c r="A4" s="15" t="s">
        <v>12</v>
      </c>
      <c r="B4" s="19">
        <v>10</v>
      </c>
      <c r="C4" s="20">
        <f t="shared" si="0"/>
        <v>12.365372012216989</v>
      </c>
      <c r="D4" s="14">
        <v>250</v>
      </c>
      <c r="E4" s="13">
        <f t="shared" si="1"/>
        <v>2500</v>
      </c>
      <c r="F4" s="14">
        <v>4.2</v>
      </c>
      <c r="G4" s="14">
        <f t="shared" si="2"/>
        <v>2.3809523809523809</v>
      </c>
      <c r="H4" s="15">
        <f t="shared" si="4"/>
        <v>10</v>
      </c>
      <c r="I4" s="15">
        <f t="shared" si="4"/>
        <v>12.365372012216989</v>
      </c>
      <c r="J4" s="15">
        <f t="shared" si="5"/>
        <v>2.3809523809523809</v>
      </c>
      <c r="K4" s="16"/>
      <c r="L4" s="5"/>
      <c r="M4" s="22"/>
      <c r="N4" s="22"/>
      <c r="O4" s="17"/>
      <c r="P4" s="7"/>
      <c r="Q4" s="6"/>
      <c r="R4" s="6"/>
      <c r="S4" s="6"/>
      <c r="T4" s="6"/>
      <c r="U4" s="6"/>
      <c r="V4" s="6"/>
      <c r="W4" s="6"/>
      <c r="X4" s="7"/>
      <c r="Y4" s="7"/>
    </row>
    <row r="5" spans="1:25" ht="15.75" customHeight="1" x14ac:dyDescent="0.25">
      <c r="A5" s="23">
        <v>8080</v>
      </c>
      <c r="B5" s="13">
        <v>1</v>
      </c>
      <c r="C5" s="20">
        <f t="shared" si="0"/>
        <v>1.2365372012216989</v>
      </c>
      <c r="D5" s="14">
        <v>12</v>
      </c>
      <c r="E5" s="13">
        <f t="shared" si="1"/>
        <v>12</v>
      </c>
      <c r="F5" s="14">
        <v>2.7</v>
      </c>
      <c r="G5" s="14">
        <f t="shared" si="2"/>
        <v>0.37037037037037035</v>
      </c>
      <c r="H5" s="4">
        <f t="shared" si="4"/>
        <v>1</v>
      </c>
      <c r="I5" s="15">
        <f t="shared" si="4"/>
        <v>1.2365372012216989</v>
      </c>
      <c r="J5" s="15">
        <f t="shared" si="5"/>
        <v>0.37037037037037035</v>
      </c>
      <c r="K5" s="16"/>
      <c r="L5" s="5"/>
      <c r="M5" s="22"/>
      <c r="N5" s="22"/>
      <c r="O5" s="17"/>
      <c r="P5" s="7"/>
      <c r="Q5" s="6"/>
      <c r="R5" s="6"/>
      <c r="S5" s="6"/>
      <c r="T5" s="6"/>
      <c r="U5" s="6"/>
      <c r="V5" s="6"/>
      <c r="W5" s="6"/>
      <c r="X5" s="7"/>
      <c r="Y5" s="7"/>
    </row>
    <row r="6" spans="1:25" ht="15.75" customHeight="1" x14ac:dyDescent="0.25">
      <c r="A6" s="23" t="s">
        <v>13</v>
      </c>
      <c r="B6" s="13">
        <v>0</v>
      </c>
      <c r="C6" s="20">
        <f t="shared" si="0"/>
        <v>0</v>
      </c>
      <c r="D6" s="14">
        <v>12</v>
      </c>
      <c r="E6" s="13">
        <f t="shared" si="1"/>
        <v>0</v>
      </c>
      <c r="F6" s="14">
        <v>2.7</v>
      </c>
      <c r="G6" s="14">
        <f t="shared" si="2"/>
        <v>0</v>
      </c>
      <c r="H6" s="4">
        <f t="shared" si="4"/>
        <v>0</v>
      </c>
      <c r="I6" s="15">
        <f t="shared" si="4"/>
        <v>0</v>
      </c>
      <c r="J6" s="15">
        <f t="shared" si="5"/>
        <v>0</v>
      </c>
      <c r="K6" s="16"/>
      <c r="L6" s="5"/>
      <c r="M6" s="22"/>
      <c r="N6" s="22"/>
      <c r="O6" s="17"/>
      <c r="P6" s="7"/>
      <c r="Q6" s="6"/>
      <c r="R6" s="6"/>
      <c r="S6" s="6"/>
      <c r="T6" s="6"/>
      <c r="U6" s="6"/>
      <c r="V6" s="6"/>
      <c r="W6" s="6"/>
      <c r="X6" s="7"/>
      <c r="Y6" s="7"/>
    </row>
    <row r="7" spans="1:25" ht="15.75" customHeight="1" x14ac:dyDescent="0.25">
      <c r="A7" s="23" t="s">
        <v>14</v>
      </c>
      <c r="B7" s="13">
        <v>0.05</v>
      </c>
      <c r="C7" s="20">
        <f t="shared" si="0"/>
        <v>6.1826860061084947E-2</v>
      </c>
      <c r="D7" s="14">
        <v>12</v>
      </c>
      <c r="E7" s="13">
        <f t="shared" si="1"/>
        <v>0.60000000000000009</v>
      </c>
      <c r="F7" s="14">
        <v>3.5</v>
      </c>
      <c r="G7" s="14">
        <f t="shared" si="2"/>
        <v>1.4285714285714287E-2</v>
      </c>
      <c r="H7" s="4">
        <f t="shared" si="4"/>
        <v>0.05</v>
      </c>
      <c r="I7" s="15">
        <f t="shared" si="4"/>
        <v>6.1826860061084947E-2</v>
      </c>
      <c r="J7" s="15">
        <f t="shared" si="5"/>
        <v>1.4285714285714287E-2</v>
      </c>
      <c r="K7" s="16"/>
      <c r="L7" s="5"/>
      <c r="M7" s="17"/>
      <c r="N7" s="17"/>
      <c r="O7" s="17"/>
      <c r="P7" s="7"/>
      <c r="Q7" s="6"/>
      <c r="R7" s="6"/>
      <c r="S7" s="6"/>
      <c r="T7" s="6"/>
      <c r="U7" s="6"/>
      <c r="V7" s="6"/>
      <c r="W7" s="6"/>
      <c r="X7" s="7"/>
      <c r="Y7" s="7"/>
    </row>
    <row r="8" spans="1:25" ht="15.75" customHeight="1" x14ac:dyDescent="0.25">
      <c r="A8" s="23" t="s">
        <v>15</v>
      </c>
      <c r="B8" s="13">
        <v>0</v>
      </c>
      <c r="C8" s="20">
        <f t="shared" si="0"/>
        <v>0</v>
      </c>
      <c r="D8" s="14">
        <v>12</v>
      </c>
      <c r="E8" s="13">
        <f t="shared" si="1"/>
        <v>0</v>
      </c>
      <c r="F8" s="14">
        <v>0</v>
      </c>
      <c r="G8" s="14">
        <v>0</v>
      </c>
      <c r="H8" s="4">
        <f t="shared" si="4"/>
        <v>0</v>
      </c>
      <c r="I8" s="15">
        <f t="shared" si="4"/>
        <v>0</v>
      </c>
      <c r="J8" s="15">
        <v>0</v>
      </c>
      <c r="K8" s="16"/>
      <c r="L8" s="5"/>
      <c r="M8" s="17"/>
      <c r="N8" s="17"/>
      <c r="O8" s="17"/>
      <c r="P8" s="7"/>
      <c r="Q8" s="6"/>
      <c r="R8" s="6"/>
      <c r="S8" s="6"/>
      <c r="T8" s="6"/>
      <c r="U8" s="6"/>
      <c r="V8" s="6"/>
      <c r="W8" s="6"/>
      <c r="X8" s="7"/>
      <c r="Y8" s="7"/>
    </row>
    <row r="9" spans="1:25" ht="15.75" customHeight="1" x14ac:dyDescent="0.25">
      <c r="A9" s="23" t="s">
        <v>16</v>
      </c>
      <c r="B9" s="13">
        <v>0.2</v>
      </c>
      <c r="C9" s="20">
        <f t="shared" si="0"/>
        <v>0.24730744024433979</v>
      </c>
      <c r="D9" s="14">
        <v>1330</v>
      </c>
      <c r="E9" s="13">
        <f t="shared" si="1"/>
        <v>266</v>
      </c>
      <c r="F9" s="14">
        <v>0.94</v>
      </c>
      <c r="G9" s="14">
        <f t="shared" ref="G9:G10" si="6">B9/F9</f>
        <v>0.21276595744680854</v>
      </c>
      <c r="H9" s="4">
        <v>0</v>
      </c>
      <c r="I9" s="4">
        <v>0</v>
      </c>
      <c r="J9" s="15">
        <f t="shared" ref="J9:J10" si="7">H9/F9</f>
        <v>0</v>
      </c>
      <c r="K9" s="16"/>
      <c r="L9" s="5"/>
      <c r="M9" s="17"/>
      <c r="N9" s="17"/>
      <c r="O9" s="17"/>
      <c r="P9" s="7"/>
      <c r="Q9" s="6"/>
      <c r="R9" s="18"/>
      <c r="S9" s="21"/>
      <c r="T9" s="21"/>
      <c r="U9" s="21"/>
      <c r="V9" s="6"/>
      <c r="W9" s="6"/>
      <c r="X9" s="7"/>
      <c r="Y9" s="7"/>
    </row>
    <row r="10" spans="1:25" ht="15.75" customHeight="1" x14ac:dyDescent="0.25">
      <c r="A10" s="23" t="s">
        <v>17</v>
      </c>
      <c r="B10" s="13">
        <v>0.8</v>
      </c>
      <c r="C10" s="20">
        <f t="shared" si="0"/>
        <v>0.98922976097735915</v>
      </c>
      <c r="D10" s="14">
        <v>160</v>
      </c>
      <c r="E10" s="13">
        <f t="shared" ref="E10:E11" si="8">0</f>
        <v>0</v>
      </c>
      <c r="F10" s="14">
        <v>2</v>
      </c>
      <c r="G10" s="14">
        <f t="shared" si="6"/>
        <v>0.4</v>
      </c>
      <c r="H10" s="4">
        <f>B10</f>
        <v>0.8</v>
      </c>
      <c r="I10" s="4">
        <v>1.2</v>
      </c>
      <c r="J10" s="15">
        <f t="shared" si="7"/>
        <v>0.4</v>
      </c>
      <c r="K10" s="16"/>
      <c r="L10" s="5"/>
      <c r="M10" s="17"/>
      <c r="N10" s="17"/>
      <c r="O10" s="17"/>
      <c r="P10" s="7"/>
      <c r="Q10" s="6"/>
      <c r="R10" s="18"/>
      <c r="S10" s="21"/>
      <c r="T10" s="21"/>
      <c r="U10" s="21"/>
      <c r="V10" s="6"/>
      <c r="W10" s="6"/>
      <c r="X10" s="7"/>
      <c r="Y10" s="7"/>
    </row>
    <row r="11" spans="1:25" ht="15.75" customHeight="1" x14ac:dyDescent="0.25">
      <c r="A11" s="23" t="s">
        <v>18</v>
      </c>
      <c r="B11" s="13">
        <v>0</v>
      </c>
      <c r="C11" s="20">
        <f t="shared" si="0"/>
        <v>0</v>
      </c>
      <c r="D11" s="14">
        <v>115</v>
      </c>
      <c r="E11" s="13">
        <f t="shared" si="8"/>
        <v>0</v>
      </c>
      <c r="F11" s="14">
        <f>E11*18%</f>
        <v>0</v>
      </c>
      <c r="G11" s="14"/>
      <c r="H11" s="4">
        <v>0</v>
      </c>
      <c r="I11" s="4">
        <v>0</v>
      </c>
      <c r="J11" s="15"/>
      <c r="K11" s="16"/>
      <c r="L11" s="5"/>
      <c r="M11" s="17"/>
      <c r="N11" s="17"/>
      <c r="O11" s="17"/>
      <c r="P11" s="7"/>
      <c r="Q11" s="6"/>
      <c r="R11" s="18"/>
      <c r="S11" s="21"/>
      <c r="T11" s="21"/>
      <c r="U11" s="21"/>
      <c r="V11" s="6"/>
      <c r="W11" s="6"/>
      <c r="X11" s="7"/>
      <c r="Y11" s="7"/>
    </row>
    <row r="12" spans="1:25" ht="15.75" customHeight="1" x14ac:dyDescent="0.25">
      <c r="A12" s="23" t="s">
        <v>19</v>
      </c>
      <c r="B12" s="13">
        <v>20.617000000000001</v>
      </c>
      <c r="C12" s="20">
        <f t="shared" si="0"/>
        <v>25.493687477587766</v>
      </c>
      <c r="D12" s="14">
        <v>90</v>
      </c>
      <c r="E12" s="13">
        <f t="shared" ref="E12:E16" si="9">B12*D12</f>
        <v>1855.53</v>
      </c>
      <c r="F12" s="14">
        <v>0.86</v>
      </c>
      <c r="G12" s="14">
        <f t="shared" ref="G12:G16" si="10">B12/F12</f>
        <v>23.973255813953489</v>
      </c>
      <c r="H12" s="4">
        <v>0</v>
      </c>
      <c r="I12" s="4">
        <v>0</v>
      </c>
      <c r="J12" s="15">
        <f t="shared" ref="J12:J16" si="11">H12/F12</f>
        <v>0</v>
      </c>
      <c r="K12" s="16"/>
      <c r="L12" s="5"/>
      <c r="M12" s="17"/>
      <c r="N12" s="17"/>
      <c r="O12" s="17"/>
      <c r="P12" s="7"/>
      <c r="Q12" s="6"/>
      <c r="R12" s="18"/>
      <c r="S12" s="21"/>
      <c r="T12" s="21"/>
      <c r="U12" s="21"/>
      <c r="V12" s="6"/>
      <c r="W12" s="6"/>
      <c r="X12" s="7"/>
      <c r="Y12" s="7"/>
    </row>
    <row r="13" spans="1:25" ht="15.75" customHeight="1" x14ac:dyDescent="0.25">
      <c r="A13" s="4" t="s">
        <v>20</v>
      </c>
      <c r="B13" s="4">
        <v>3</v>
      </c>
      <c r="C13" s="20">
        <f t="shared" si="0"/>
        <v>3.7096116036650963</v>
      </c>
      <c r="D13" s="14">
        <v>120</v>
      </c>
      <c r="E13" s="13">
        <f t="shared" si="9"/>
        <v>360</v>
      </c>
      <c r="F13" s="14">
        <v>0.97</v>
      </c>
      <c r="G13" s="14">
        <f t="shared" si="10"/>
        <v>3.0927835051546393</v>
      </c>
      <c r="H13" s="4"/>
      <c r="I13" s="4">
        <v>0</v>
      </c>
      <c r="J13" s="15">
        <f t="shared" si="11"/>
        <v>0</v>
      </c>
      <c r="K13" s="16"/>
      <c r="L13" s="5"/>
      <c r="M13" s="17"/>
      <c r="N13" s="17"/>
      <c r="O13" s="17"/>
      <c r="P13" s="7"/>
      <c r="Q13" s="6"/>
      <c r="R13" s="6"/>
      <c r="S13" s="21"/>
      <c r="T13" s="6"/>
      <c r="U13" s="21"/>
      <c r="V13" s="6"/>
      <c r="W13" s="6"/>
      <c r="X13" s="7"/>
      <c r="Y13" s="7"/>
    </row>
    <row r="14" spans="1:25" ht="15.75" customHeight="1" x14ac:dyDescent="0.25">
      <c r="A14" s="4" t="s">
        <v>21</v>
      </c>
      <c r="B14" s="4">
        <v>0</v>
      </c>
      <c r="C14" s="20">
        <f t="shared" si="0"/>
        <v>0</v>
      </c>
      <c r="D14" s="14">
        <v>145</v>
      </c>
      <c r="E14" s="13">
        <f t="shared" si="9"/>
        <v>0</v>
      </c>
      <c r="F14" s="14">
        <v>0.88</v>
      </c>
      <c r="G14" s="14">
        <f t="shared" si="10"/>
        <v>0</v>
      </c>
      <c r="H14" s="4">
        <f t="shared" ref="H14:H16" si="12">B14*0</f>
        <v>0</v>
      </c>
      <c r="I14" s="4">
        <v>0</v>
      </c>
      <c r="J14" s="15">
        <f t="shared" si="11"/>
        <v>0</v>
      </c>
      <c r="K14" s="16"/>
      <c r="L14" s="5"/>
      <c r="M14" s="5"/>
      <c r="N14" s="5"/>
      <c r="O14" s="5"/>
      <c r="P14" s="6"/>
      <c r="Q14" s="6"/>
      <c r="R14" s="6"/>
      <c r="S14" s="6"/>
      <c r="T14" s="6"/>
      <c r="U14" s="6"/>
      <c r="V14" s="6"/>
      <c r="W14" s="6"/>
      <c r="X14" s="7"/>
      <c r="Y14" s="7"/>
    </row>
    <row r="15" spans="1:25" ht="15.75" customHeight="1" x14ac:dyDescent="0.25">
      <c r="A15" s="4" t="s">
        <v>22</v>
      </c>
      <c r="B15" s="4">
        <v>0.2</v>
      </c>
      <c r="C15" s="20">
        <f t="shared" si="0"/>
        <v>0.24730744024433979</v>
      </c>
      <c r="D15" s="14">
        <v>1300</v>
      </c>
      <c r="E15" s="13">
        <f t="shared" si="9"/>
        <v>260</v>
      </c>
      <c r="F15" s="14">
        <v>0.96</v>
      </c>
      <c r="G15" s="14">
        <f t="shared" si="10"/>
        <v>0.20833333333333334</v>
      </c>
      <c r="H15" s="4">
        <f t="shared" si="12"/>
        <v>0</v>
      </c>
      <c r="I15" s="4">
        <v>0</v>
      </c>
      <c r="J15" s="15">
        <f t="shared" si="11"/>
        <v>0</v>
      </c>
      <c r="K15" s="16"/>
      <c r="L15" s="17"/>
      <c r="M15" s="17"/>
      <c r="N15" s="5"/>
      <c r="O15" s="5"/>
      <c r="P15" s="21"/>
      <c r="Q15" s="6"/>
      <c r="R15" s="6"/>
      <c r="S15" s="6"/>
      <c r="T15" s="6"/>
      <c r="U15" s="6"/>
      <c r="V15" s="6"/>
      <c r="W15" s="6"/>
      <c r="X15" s="7"/>
      <c r="Y15" s="7"/>
    </row>
    <row r="16" spans="1:25" ht="15.75" customHeight="1" x14ac:dyDescent="0.25">
      <c r="A16" s="4">
        <v>306</v>
      </c>
      <c r="B16" s="4">
        <v>0</v>
      </c>
      <c r="C16" s="20">
        <f t="shared" si="0"/>
        <v>0</v>
      </c>
      <c r="D16" s="14">
        <v>1300</v>
      </c>
      <c r="E16" s="13">
        <f t="shared" si="9"/>
        <v>0</v>
      </c>
      <c r="F16" s="14">
        <v>0.93</v>
      </c>
      <c r="G16" s="14">
        <f t="shared" si="10"/>
        <v>0</v>
      </c>
      <c r="H16" s="4">
        <f t="shared" si="12"/>
        <v>0</v>
      </c>
      <c r="I16" s="4">
        <v>0</v>
      </c>
      <c r="J16" s="15">
        <f t="shared" si="11"/>
        <v>0</v>
      </c>
      <c r="K16" s="16"/>
      <c r="L16" s="17"/>
      <c r="M16" s="5" t="s">
        <v>23</v>
      </c>
      <c r="N16" s="5" t="s">
        <v>24</v>
      </c>
      <c r="O16" s="5" t="s">
        <v>25</v>
      </c>
      <c r="P16" s="6"/>
      <c r="Q16" s="6"/>
      <c r="R16" s="6"/>
      <c r="S16" s="6"/>
      <c r="T16" s="6"/>
      <c r="U16" s="6"/>
      <c r="V16" s="6"/>
      <c r="W16" s="6"/>
      <c r="X16" s="7"/>
      <c r="Y16" s="7"/>
    </row>
    <row r="17" spans="1:25" ht="15.75" customHeight="1" x14ac:dyDescent="0.25">
      <c r="A17" s="24" t="s">
        <v>26</v>
      </c>
      <c r="B17" s="13">
        <f t="shared" ref="B17:C17" si="13">SUM(B2:B16)</f>
        <v>80.870999999999995</v>
      </c>
      <c r="C17" s="20">
        <f t="shared" si="13"/>
        <v>100</v>
      </c>
      <c r="D17" s="4"/>
      <c r="E17" s="13">
        <f>SUM(E2:E16)</f>
        <v>12905.190000000002</v>
      </c>
      <c r="F17" s="14"/>
      <c r="G17" s="14">
        <f t="shared" ref="G17:H17" si="14">SUM(G2:G16)</f>
        <v>74.772394134320265</v>
      </c>
      <c r="H17" s="4">
        <f t="shared" si="14"/>
        <v>38.853999999999999</v>
      </c>
      <c r="I17" s="4">
        <f>SUM(I2:I16)</f>
        <v>48.255186655290522</v>
      </c>
      <c r="J17" s="15">
        <f t="shared" ref="J17:K17" si="15">SUM(J2:J16)</f>
        <v>26.645869335173682</v>
      </c>
      <c r="K17" s="16"/>
      <c r="L17" s="5"/>
      <c r="M17" s="13">
        <f>E17/100</f>
        <v>129.05190000000002</v>
      </c>
      <c r="N17" s="13">
        <f>B17/G17</f>
        <v>1.0815622655431396</v>
      </c>
      <c r="O17" s="13">
        <f>M17*N17</f>
        <v>139.57766533664673</v>
      </c>
      <c r="P17" s="6"/>
      <c r="Q17" s="6"/>
      <c r="R17" s="6"/>
      <c r="S17" s="6"/>
      <c r="T17" s="6"/>
      <c r="U17" s="6"/>
      <c r="V17" s="6"/>
      <c r="W17" s="6"/>
      <c r="X17" s="7"/>
      <c r="Y17" s="7"/>
    </row>
    <row r="18" spans="1:25" ht="15.75" customHeight="1" x14ac:dyDescent="0.25">
      <c r="A18" s="25" t="s">
        <v>27</v>
      </c>
      <c r="B18" s="26"/>
      <c r="C18" s="26"/>
      <c r="D18" s="26"/>
      <c r="E18" s="26"/>
      <c r="F18" s="26"/>
      <c r="G18" s="26"/>
      <c r="H18" s="27"/>
      <c r="I18" s="2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 x14ac:dyDescent="0.25">
      <c r="A19" s="28" t="s">
        <v>28</v>
      </c>
      <c r="B19" s="28" t="s">
        <v>29</v>
      </c>
      <c r="C19" s="28" t="s">
        <v>30</v>
      </c>
      <c r="D19" s="29" t="s">
        <v>31</v>
      </c>
      <c r="E19" s="29" t="s">
        <v>32</v>
      </c>
      <c r="F19" s="29" t="s">
        <v>33</v>
      </c>
      <c r="G19" s="28" t="s">
        <v>34</v>
      </c>
      <c r="H19" s="28" t="s">
        <v>35</v>
      </c>
      <c r="I19" s="28" t="s">
        <v>36</v>
      </c>
      <c r="J19" s="28" t="s">
        <v>37</v>
      </c>
      <c r="K19" s="28" t="s">
        <v>38</v>
      </c>
      <c r="L19" s="30">
        <f t="shared" ref="L19:L23" si="16">M19-M19*5%</f>
        <v>0</v>
      </c>
      <c r="M19" s="29"/>
      <c r="N19" s="29" t="s">
        <v>39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 x14ac:dyDescent="0.25">
      <c r="A20" s="30">
        <f>O17</f>
        <v>139.57766533664673</v>
      </c>
      <c r="B20" s="30">
        <v>0.5</v>
      </c>
      <c r="C20" s="31">
        <v>20</v>
      </c>
      <c r="D20" s="31">
        <f t="shared" ref="D20:D21" si="17">C20</f>
        <v>20</v>
      </c>
      <c r="E20" s="31">
        <f t="shared" ref="E20:E21" si="18">D20+A20</f>
        <v>159.57766533664673</v>
      </c>
      <c r="F20" s="30">
        <f t="shared" ref="F20:F21" si="19">E20*40%</f>
        <v>63.831066134658698</v>
      </c>
      <c r="G20" s="30">
        <f t="shared" ref="G20:G23" si="20">E20*5%</f>
        <v>7.9788832668323373</v>
      </c>
      <c r="H20" s="31">
        <f t="shared" ref="H20:H23" si="21">SUM(E20:G20)</f>
        <v>231.38761473813776</v>
      </c>
      <c r="I20" s="30"/>
      <c r="J20" s="31">
        <f t="shared" ref="J20:J23" si="22">L20-E20</f>
        <v>-159.57766533664673</v>
      </c>
      <c r="K20" s="30" t="e">
        <f t="shared" ref="K20:K23" si="23">J20*100/L20</f>
        <v>#DIV/0!</v>
      </c>
      <c r="L20" s="30">
        <f t="shared" si="16"/>
        <v>0</v>
      </c>
      <c r="M20" s="30">
        <f t="shared" ref="M20:M23" si="24">N20/B20</f>
        <v>0</v>
      </c>
      <c r="N20" s="30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 x14ac:dyDescent="0.25">
      <c r="A21" s="30">
        <f>O17</f>
        <v>139.57766533664673</v>
      </c>
      <c r="B21" s="30">
        <v>1</v>
      </c>
      <c r="C21" s="31">
        <v>30</v>
      </c>
      <c r="D21" s="31">
        <f t="shared" si="17"/>
        <v>30</v>
      </c>
      <c r="E21" s="31">
        <f t="shared" si="18"/>
        <v>169.57766533664673</v>
      </c>
      <c r="F21" s="30">
        <f t="shared" si="19"/>
        <v>67.831066134658698</v>
      </c>
      <c r="G21" s="30">
        <f t="shared" si="20"/>
        <v>8.4788832668323373</v>
      </c>
      <c r="H21" s="31">
        <f t="shared" si="21"/>
        <v>245.88761473813776</v>
      </c>
      <c r="I21" s="30"/>
      <c r="J21" s="31">
        <f t="shared" si="22"/>
        <v>153.42233466335327</v>
      </c>
      <c r="K21" s="30">
        <f t="shared" si="23"/>
        <v>47.499174818375621</v>
      </c>
      <c r="L21" s="30">
        <f t="shared" si="16"/>
        <v>323</v>
      </c>
      <c r="M21" s="30">
        <f t="shared" si="24"/>
        <v>340</v>
      </c>
      <c r="N21" s="30">
        <v>340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 x14ac:dyDescent="0.25">
      <c r="A22" s="30">
        <f>O17</f>
        <v>139.57766533664673</v>
      </c>
      <c r="B22" s="30">
        <v>4</v>
      </c>
      <c r="C22" s="31">
        <v>70</v>
      </c>
      <c r="D22" s="30">
        <f t="shared" ref="D22:D23" si="25">C22/B22</f>
        <v>17.5</v>
      </c>
      <c r="E22" s="30">
        <f t="shared" ref="E22:E23" si="26">SUM(A22,D22)</f>
        <v>157.07766533664673</v>
      </c>
      <c r="F22" s="30">
        <f t="shared" ref="F22:F23" si="27">E22*23%</f>
        <v>36.127863027428752</v>
      </c>
      <c r="G22" s="30">
        <f t="shared" si="20"/>
        <v>7.8538832668323373</v>
      </c>
      <c r="H22" s="30">
        <f t="shared" si="21"/>
        <v>201.05941163090782</v>
      </c>
      <c r="I22" s="30"/>
      <c r="J22" s="30">
        <f t="shared" si="22"/>
        <v>222.92233466335327</v>
      </c>
      <c r="K22" s="30">
        <f t="shared" si="23"/>
        <v>58.663772279829814</v>
      </c>
      <c r="L22" s="30">
        <f t="shared" si="16"/>
        <v>380</v>
      </c>
      <c r="M22" s="30">
        <f t="shared" si="24"/>
        <v>400</v>
      </c>
      <c r="N22" s="30">
        <v>1600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 x14ac:dyDescent="0.25">
      <c r="A23" s="30">
        <f>O17</f>
        <v>139.57766533664673</v>
      </c>
      <c r="B23" s="30">
        <v>16</v>
      </c>
      <c r="C23" s="31">
        <v>165</v>
      </c>
      <c r="D23" s="30">
        <f t="shared" si="25"/>
        <v>10.3125</v>
      </c>
      <c r="E23" s="30">
        <f t="shared" si="26"/>
        <v>149.89016533664673</v>
      </c>
      <c r="F23" s="30">
        <f t="shared" si="27"/>
        <v>34.474738027428749</v>
      </c>
      <c r="G23" s="30">
        <f t="shared" si="20"/>
        <v>7.4945082668323373</v>
      </c>
      <c r="H23" s="30">
        <f t="shared" si="21"/>
        <v>191.8594116309078</v>
      </c>
      <c r="I23" s="30">
        <f>N23/20</f>
        <v>252.5</v>
      </c>
      <c r="J23" s="30">
        <f t="shared" si="22"/>
        <v>149.95358466335327</v>
      </c>
      <c r="K23" s="32">
        <f t="shared" si="23"/>
        <v>50.010575395803073</v>
      </c>
      <c r="L23" s="30">
        <f t="shared" si="16"/>
        <v>299.84375</v>
      </c>
      <c r="M23" s="30">
        <f t="shared" si="24"/>
        <v>315.625</v>
      </c>
      <c r="N23" s="30">
        <v>5050</v>
      </c>
      <c r="O23" s="6"/>
      <c r="P23" s="6"/>
      <c r="Q23" s="6"/>
      <c r="R23" s="6"/>
      <c r="S23" s="6"/>
      <c r="T23" s="6"/>
      <c r="U23" s="6"/>
      <c r="V23" s="6"/>
      <c r="W23" s="6"/>
      <c r="X23" s="7"/>
      <c r="Y23" s="7"/>
    </row>
    <row r="24" spans="1:25" ht="15.75" x14ac:dyDescent="0.25">
      <c r="A24" s="33" t="s">
        <v>40</v>
      </c>
      <c r="B24" s="33"/>
      <c r="C24" s="34"/>
      <c r="D24" s="33"/>
      <c r="E24" s="33"/>
      <c r="F24" s="33"/>
      <c r="G24" s="33"/>
      <c r="H24" s="33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</row>
    <row r="25" spans="1:25" ht="15.75" x14ac:dyDescent="0.25">
      <c r="A25" s="36" t="s">
        <v>0</v>
      </c>
      <c r="B25" s="36" t="s">
        <v>41</v>
      </c>
      <c r="C25" s="37" t="s">
        <v>42</v>
      </c>
      <c r="D25" s="36" t="s">
        <v>3</v>
      </c>
      <c r="E25" s="36" t="s">
        <v>4</v>
      </c>
      <c r="F25" s="36" t="s">
        <v>5</v>
      </c>
      <c r="G25" s="36" t="s">
        <v>43</v>
      </c>
      <c r="H25" s="38" t="s">
        <v>44</v>
      </c>
      <c r="I25" s="38" t="s">
        <v>44</v>
      </c>
      <c r="J25" s="37" t="s">
        <v>45</v>
      </c>
      <c r="K25" s="39"/>
      <c r="L25" s="39"/>
      <c r="M25" s="39"/>
      <c r="N25" s="39"/>
      <c r="O25" s="39"/>
      <c r="P25" s="40"/>
      <c r="Q25" s="40"/>
      <c r="R25" s="40"/>
      <c r="S25" s="35"/>
      <c r="T25" s="35"/>
      <c r="U25" s="35"/>
      <c r="V25" s="35"/>
      <c r="W25" s="35"/>
      <c r="X25" s="35"/>
    </row>
    <row r="26" spans="1:25" ht="15.75" x14ac:dyDescent="0.25">
      <c r="A26" s="41" t="s">
        <v>46</v>
      </c>
      <c r="B26" s="11">
        <v>12</v>
      </c>
      <c r="C26" s="11">
        <f>100*B26/B29</f>
        <v>62.731977625594652</v>
      </c>
      <c r="D26" s="42">
        <v>470</v>
      </c>
      <c r="E26" s="43">
        <f>C26*D26</f>
        <v>29484.029484029488</v>
      </c>
      <c r="F26" s="42">
        <v>1.07</v>
      </c>
      <c r="G26" s="42">
        <f>B26/F26</f>
        <v>11.214953271028037</v>
      </c>
      <c r="H26" s="38">
        <f t="shared" ref="H26:I26" si="28">B26*0.75</f>
        <v>9</v>
      </c>
      <c r="I26" s="38">
        <f t="shared" si="28"/>
        <v>47.048983219195989</v>
      </c>
      <c r="J26" s="44">
        <f t="shared" ref="J26:J28" si="29">H26/1.15</f>
        <v>7.8260869565217401</v>
      </c>
      <c r="K26" s="39"/>
      <c r="L26" s="39"/>
      <c r="M26" s="39"/>
      <c r="N26" s="39"/>
      <c r="O26" s="39"/>
      <c r="P26" s="40"/>
      <c r="Q26" s="40"/>
      <c r="R26" s="35"/>
      <c r="S26" s="35"/>
      <c r="T26" s="35"/>
      <c r="U26" s="35"/>
      <c r="V26" s="35"/>
      <c r="W26" s="35"/>
    </row>
    <row r="27" spans="1:25" ht="15.75" x14ac:dyDescent="0.25">
      <c r="A27" s="45" t="s">
        <v>47</v>
      </c>
      <c r="B27" s="46" t="s">
        <v>48</v>
      </c>
      <c r="C27" s="47"/>
      <c r="D27" s="48"/>
      <c r="E27" s="46"/>
      <c r="F27" s="48"/>
      <c r="G27" s="42"/>
      <c r="H27" s="45"/>
      <c r="I27" s="45"/>
      <c r="J27" s="44">
        <f t="shared" si="29"/>
        <v>0</v>
      </c>
      <c r="K27" s="49"/>
      <c r="L27" s="49"/>
      <c r="M27" s="39" t="s">
        <v>23</v>
      </c>
      <c r="N27" s="39" t="s">
        <v>24</v>
      </c>
      <c r="O27" s="39" t="s">
        <v>25</v>
      </c>
      <c r="P27" s="40"/>
      <c r="Q27" s="40"/>
      <c r="R27" s="35"/>
      <c r="S27" s="35"/>
      <c r="T27" s="35"/>
      <c r="U27" s="35"/>
      <c r="V27" s="35"/>
      <c r="W27" s="35"/>
    </row>
    <row r="28" spans="1:25" ht="15.75" x14ac:dyDescent="0.25">
      <c r="A28" s="50" t="s">
        <v>49</v>
      </c>
      <c r="B28" s="43">
        <v>7.1289999999999996</v>
      </c>
      <c r="C28" s="47">
        <f>B28*100/B29</f>
        <v>37.268022374405355</v>
      </c>
      <c r="D28" s="42">
        <v>90</v>
      </c>
      <c r="E28" s="43">
        <f>C28*D28</f>
        <v>3354.1220136964821</v>
      </c>
      <c r="F28" s="42">
        <v>0.86</v>
      </c>
      <c r="G28" s="42">
        <f>B28/F28</f>
        <v>8.2895348837209291</v>
      </c>
      <c r="H28" s="38"/>
      <c r="I28" s="38"/>
      <c r="J28" s="44">
        <f t="shared" si="29"/>
        <v>0</v>
      </c>
      <c r="K28" s="49"/>
      <c r="L28" s="49"/>
      <c r="M28" s="43">
        <f>E29/100</f>
        <v>328.38151497725971</v>
      </c>
      <c r="N28" s="43">
        <f>B29/G29</f>
        <v>0.98074862812241781</v>
      </c>
      <c r="O28" s="43">
        <f>M28*N28</f>
        <v>322.05972031470867</v>
      </c>
      <c r="P28" s="40"/>
      <c r="Q28" s="40"/>
      <c r="R28" s="35"/>
      <c r="S28" s="35"/>
      <c r="T28" s="35"/>
      <c r="U28" s="35"/>
      <c r="V28" s="35"/>
      <c r="W28" s="35"/>
    </row>
    <row r="29" spans="1:25" ht="16.5" thickBot="1" x14ac:dyDescent="0.3">
      <c r="A29" s="51" t="s">
        <v>50</v>
      </c>
      <c r="B29" s="52">
        <f t="shared" ref="B29:C29" si="30">SUM(B26:B28)</f>
        <v>19.128999999999998</v>
      </c>
      <c r="C29" s="53">
        <f t="shared" si="30"/>
        <v>100</v>
      </c>
      <c r="D29" s="37"/>
      <c r="E29" s="54">
        <f>SUM(E26:E28)</f>
        <v>32838.151497725972</v>
      </c>
      <c r="F29" s="55"/>
      <c r="G29" s="55">
        <f>SUM(G26:G28)</f>
        <v>19.504488154748966</v>
      </c>
      <c r="H29" s="37">
        <f>SUM(H2:H16,H26)</f>
        <v>47.853999999999999</v>
      </c>
      <c r="I29" s="37">
        <f>I26</f>
        <v>47.048983219195989</v>
      </c>
      <c r="J29" s="56">
        <f>SUM(J26:J28,J2:J16)</f>
        <v>34.471956291695427</v>
      </c>
      <c r="K29" s="39"/>
      <c r="L29" s="39"/>
      <c r="M29" s="39"/>
      <c r="N29" s="39"/>
      <c r="O29" s="39"/>
      <c r="P29" s="40"/>
      <c r="Q29" s="40"/>
      <c r="R29" s="35"/>
      <c r="S29" s="35"/>
      <c r="T29" s="35"/>
      <c r="U29" s="35"/>
      <c r="V29" s="35"/>
      <c r="W29" s="35"/>
    </row>
    <row r="30" spans="1:25" ht="17.25" thickTop="1" thickBot="1" x14ac:dyDescent="0.3">
      <c r="A30" s="57" t="s">
        <v>51</v>
      </c>
      <c r="B30" s="58">
        <f>SUM(B17+B29)</f>
        <v>100</v>
      </c>
      <c r="C30" s="49"/>
      <c r="D30" s="49"/>
      <c r="E30" s="49"/>
      <c r="F30" s="59" t="s">
        <v>52</v>
      </c>
      <c r="G30" s="60">
        <f>G17+G29</f>
        <v>94.276882289069235</v>
      </c>
      <c r="H30" s="61"/>
      <c r="I30" s="49"/>
      <c r="J30" s="49">
        <f>J29/G30*100</f>
        <v>36.564590867566501</v>
      </c>
      <c r="K30" s="49"/>
      <c r="L30" s="49"/>
      <c r="M30" s="49"/>
      <c r="N30" s="49"/>
      <c r="O30" s="49"/>
      <c r="P30" s="62"/>
    </row>
    <row r="31" spans="1:25" ht="16.5" thickTop="1" x14ac:dyDescent="0.25">
      <c r="A31" s="63" t="s">
        <v>53</v>
      </c>
      <c r="B31" s="64"/>
      <c r="C31" s="64"/>
      <c r="D31" s="64"/>
      <c r="E31" s="64"/>
      <c r="F31" s="64" t="s">
        <v>54</v>
      </c>
      <c r="G31" s="65">
        <f>G29*4</f>
        <v>78.017952618995864</v>
      </c>
      <c r="H31" s="66"/>
      <c r="I31" s="64"/>
      <c r="J31" s="62"/>
      <c r="K31" s="62"/>
      <c r="L31" s="62"/>
      <c r="M31" s="62"/>
      <c r="N31" s="62"/>
      <c r="O31" s="62"/>
      <c r="P31" s="62"/>
    </row>
    <row r="32" spans="1:25" ht="15.75" x14ac:dyDescent="0.25">
      <c r="A32" s="67" t="s">
        <v>28</v>
      </c>
      <c r="B32" s="67" t="s">
        <v>29</v>
      </c>
      <c r="C32" s="67" t="s">
        <v>30</v>
      </c>
      <c r="D32" s="68" t="s">
        <v>31</v>
      </c>
      <c r="E32" s="68" t="s">
        <v>32</v>
      </c>
      <c r="F32" s="68" t="s">
        <v>33</v>
      </c>
      <c r="G32" s="67" t="s">
        <v>34</v>
      </c>
      <c r="H32" s="67" t="s">
        <v>35</v>
      </c>
      <c r="I32" s="67" t="s">
        <v>36</v>
      </c>
      <c r="J32" s="67" t="s">
        <v>37</v>
      </c>
      <c r="K32" s="67" t="s">
        <v>38</v>
      </c>
      <c r="L32" s="69">
        <f t="shared" ref="L32:L35" si="31">M32-M32*5%</f>
        <v>0</v>
      </c>
      <c r="M32" s="68"/>
      <c r="N32" s="68"/>
      <c r="O32" s="62"/>
      <c r="P32" s="62"/>
    </row>
    <row r="33" spans="1:16" ht="15.75" x14ac:dyDescent="0.25">
      <c r="A33" s="69">
        <f>O28</f>
        <v>322.05972031470867</v>
      </c>
      <c r="B33" s="69">
        <v>0.25</v>
      </c>
      <c r="C33" s="70">
        <v>12</v>
      </c>
      <c r="D33" s="70">
        <f t="shared" ref="D33:D34" si="32">C33</f>
        <v>12</v>
      </c>
      <c r="E33" s="70">
        <f>D33+A33</f>
        <v>334.05972031470867</v>
      </c>
      <c r="F33" s="69">
        <f>E33*40%</f>
        <v>133.62388812588347</v>
      </c>
      <c r="G33" s="69">
        <f t="shared" ref="G33:G35" si="33">E33*5%</f>
        <v>16.702986015735434</v>
      </c>
      <c r="H33" s="70">
        <f t="shared" ref="H33:H35" si="34">SUM(E33:G33)</f>
        <v>484.38659445632754</v>
      </c>
      <c r="I33" s="69"/>
      <c r="J33" s="70">
        <f t="shared" ref="J33:J35" si="35">L33-E33</f>
        <v>-334.05972031470867</v>
      </c>
      <c r="K33" s="69" t="e">
        <f t="shared" ref="K33:K35" si="36">J33*100/L33</f>
        <v>#DIV/0!</v>
      </c>
      <c r="L33" s="69">
        <f t="shared" si="31"/>
        <v>0</v>
      </c>
      <c r="M33" s="69">
        <f t="shared" ref="M33:M35" si="37">N33/B33</f>
        <v>0</v>
      </c>
      <c r="N33" s="69"/>
      <c r="O33" s="62"/>
      <c r="P33" s="62"/>
    </row>
    <row r="34" spans="1:16" ht="15.75" x14ac:dyDescent="0.25">
      <c r="A34" s="69">
        <f>O28</f>
        <v>322.05972031470867</v>
      </c>
      <c r="B34" s="69">
        <v>1</v>
      </c>
      <c r="C34" s="70">
        <v>30</v>
      </c>
      <c r="D34" s="70">
        <f t="shared" si="32"/>
        <v>30</v>
      </c>
      <c r="E34" s="69">
        <f t="shared" ref="E34:E35" si="38">SUM(A34,D34)</f>
        <v>352.05972031470867</v>
      </c>
      <c r="F34" s="69">
        <f t="shared" ref="F34:F35" si="39">E34*23%</f>
        <v>80.973735672383</v>
      </c>
      <c r="G34" s="69">
        <f t="shared" si="33"/>
        <v>17.602986015735436</v>
      </c>
      <c r="H34" s="69">
        <f t="shared" si="34"/>
        <v>450.6364420028271</v>
      </c>
      <c r="I34" s="69"/>
      <c r="J34" s="69">
        <f t="shared" si="35"/>
        <v>-86.05972031470867</v>
      </c>
      <c r="K34" s="69">
        <f t="shared" si="36"/>
        <v>-32.353278313800253</v>
      </c>
      <c r="L34" s="69">
        <f t="shared" si="31"/>
        <v>266</v>
      </c>
      <c r="M34" s="69">
        <f t="shared" si="37"/>
        <v>280</v>
      </c>
      <c r="N34" s="69">
        <v>280</v>
      </c>
      <c r="O34" s="62"/>
      <c r="P34" s="62"/>
    </row>
    <row r="35" spans="1:16" ht="15.75" x14ac:dyDescent="0.25">
      <c r="A35" s="69">
        <f>O28</f>
        <v>322.05972031470867</v>
      </c>
      <c r="B35" s="69">
        <v>4</v>
      </c>
      <c r="C35" s="70">
        <v>70</v>
      </c>
      <c r="D35" s="69">
        <f>C35/B35</f>
        <v>17.5</v>
      </c>
      <c r="E35" s="69">
        <f t="shared" si="38"/>
        <v>339.55972031470867</v>
      </c>
      <c r="F35" s="69">
        <f t="shared" si="39"/>
        <v>78.098735672383</v>
      </c>
      <c r="G35" s="69">
        <f t="shared" si="33"/>
        <v>16.977986015735436</v>
      </c>
      <c r="H35" s="69">
        <f t="shared" si="34"/>
        <v>434.6364420028271</v>
      </c>
      <c r="I35" s="69"/>
      <c r="J35" s="69">
        <f t="shared" si="35"/>
        <v>-121.05972031470867</v>
      </c>
      <c r="K35" s="69">
        <f t="shared" si="36"/>
        <v>-55.404906322521128</v>
      </c>
      <c r="L35" s="69">
        <f t="shared" si="31"/>
        <v>218.5</v>
      </c>
      <c r="M35" s="69">
        <f t="shared" si="37"/>
        <v>230</v>
      </c>
      <c r="N35" s="69">
        <v>920</v>
      </c>
      <c r="O35" s="62"/>
      <c r="P35" s="62"/>
    </row>
    <row r="36" spans="1:16" ht="15.75" x14ac:dyDescent="0.25">
      <c r="A36" s="69">
        <f>O28</f>
        <v>322.05972031470867</v>
      </c>
      <c r="B36" s="69"/>
      <c r="C36" s="70"/>
      <c r="D36" s="69"/>
      <c r="E36" s="69"/>
      <c r="F36" s="69"/>
      <c r="G36" s="69"/>
      <c r="H36" s="69"/>
      <c r="I36" s="69"/>
      <c r="J36" s="69"/>
      <c r="K36" s="71"/>
      <c r="L36" s="69"/>
      <c r="M36" s="69"/>
      <c r="N36" s="68"/>
      <c r="O36" s="62"/>
      <c r="P36" s="62"/>
    </row>
    <row r="38" spans="1:16" x14ac:dyDescent="0.25">
      <c r="A38" s="72"/>
      <c r="B38" s="73" t="s">
        <v>55</v>
      </c>
      <c r="C38" s="73" t="s">
        <v>24</v>
      </c>
      <c r="D38" s="73" t="s">
        <v>56</v>
      </c>
    </row>
    <row r="39" spans="1:16" x14ac:dyDescent="0.25">
      <c r="A39" s="74" t="s">
        <v>57</v>
      </c>
      <c r="B39" s="75">
        <f>G17</f>
        <v>74.772394134320265</v>
      </c>
      <c r="C39" s="76" t="str">
        <f>M16</f>
        <v>RM/KG</v>
      </c>
      <c r="D39" s="76" t="e">
        <f t="shared" ref="D39:D40" si="40">B39/C39</f>
        <v>#VALUE!</v>
      </c>
    </row>
    <row r="40" spans="1:16" x14ac:dyDescent="0.25">
      <c r="A40" s="74" t="s">
        <v>58</v>
      </c>
      <c r="B40" s="75">
        <f>SUM(G26:G28)</f>
        <v>19.504488154748966</v>
      </c>
      <c r="C40" s="76">
        <f>K28</f>
        <v>0</v>
      </c>
      <c r="D40" s="76" t="e">
        <f t="shared" si="40"/>
        <v>#DIV/0!</v>
      </c>
    </row>
    <row r="41" spans="1:16" x14ac:dyDescent="0.25">
      <c r="A41" s="76"/>
      <c r="B41" s="76"/>
      <c r="C41" s="76"/>
      <c r="D41" s="77" t="e">
        <f>SUM(D39:D40)</f>
        <v>#VALUE!</v>
      </c>
    </row>
    <row r="42" spans="1:16" x14ac:dyDescent="0.25">
      <c r="A42" s="74" t="s">
        <v>59</v>
      </c>
      <c r="B42" s="76"/>
      <c r="C42" s="76"/>
      <c r="D42" s="77" t="e">
        <f>100/D41</f>
        <v>#VALUE!</v>
      </c>
    </row>
    <row r="44" spans="1:16" x14ac:dyDescent="0.25">
      <c r="A44" s="78" t="s">
        <v>60</v>
      </c>
      <c r="B44" s="79">
        <f>E22*4</f>
        <v>628.31066134658693</v>
      </c>
    </row>
    <row r="45" spans="1:16" x14ac:dyDescent="0.25">
      <c r="A45" s="78" t="s">
        <v>61</v>
      </c>
      <c r="B45" s="79">
        <f>E34</f>
        <v>352.05972031470867</v>
      </c>
    </row>
    <row r="46" spans="1:16" x14ac:dyDescent="0.25">
      <c r="B46" s="79">
        <f>SUM(B44:B45)</f>
        <v>980.3703816612956</v>
      </c>
    </row>
    <row r="47" spans="1:16" x14ac:dyDescent="0.25">
      <c r="B47" s="79">
        <f>B46/5</f>
        <v>196.07407633225912</v>
      </c>
    </row>
    <row r="49" spans="2:2" x14ac:dyDescent="0.25">
      <c r="B49" s="78">
        <v>194</v>
      </c>
    </row>
    <row r="50" spans="2:2" x14ac:dyDescent="0.25">
      <c r="B50" s="79">
        <f>B47-B49</f>
        <v>2.0740763322591249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2025-12-09T12:55:18Z</dcterms:modified>
</cp:coreProperties>
</file>